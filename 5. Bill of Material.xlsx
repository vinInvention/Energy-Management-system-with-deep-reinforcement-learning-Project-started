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nergy Management system with deep reinforcement learning\Engineering Workflow methodology\Energy Management system with deep reinforcement learning Project started\"/>
    </mc:Choice>
  </mc:AlternateContent>
  <xr:revisionPtr revIDLastSave="0" documentId="13_ncr:1_{C0D48427-3AC5-465C-8EED-92E2A70ECCDE}" xr6:coauthVersionLast="47" xr6:coauthVersionMax="47" xr10:uidLastSave="{00000000-0000-0000-0000-000000000000}"/>
  <bookViews>
    <workbookView xWindow="-120" yWindow="-120" windowWidth="20730" windowHeight="11160" activeTab="1" xr2:uid="{A2B12B88-2F78-4C11-A603-F2E066252FE8}"/>
  </bookViews>
  <sheets>
    <sheet name="Electronics" sheetId="1" r:id="rId1"/>
    <sheet name="Miscellenous" sheetId="2" r:id="rId2"/>
    <sheet name="Power" sheetId="4" r:id="rId3"/>
    <sheet name="Workmanship" sheetId="5" r:id="rId4"/>
    <sheet name="Overall Total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  <c r="E16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  <c r="C3" i="5"/>
  <c r="D4" i="4"/>
  <c r="D3" i="4"/>
  <c r="D2" i="4"/>
  <c r="A3" i="3"/>
  <c r="E3" i="1"/>
  <c r="F2" i="2" l="1"/>
  <c r="E3" i="4"/>
</calcChain>
</file>

<file path=xl/sharedStrings.xml><?xml version="1.0" encoding="utf-8"?>
<sst xmlns="http://schemas.openxmlformats.org/spreadsheetml/2006/main" count="98" uniqueCount="81">
  <si>
    <t>D1</t>
  </si>
  <si>
    <t>D2 &amp; D3</t>
  </si>
  <si>
    <t>-</t>
  </si>
  <si>
    <t>D4 &amp; D5</t>
  </si>
  <si>
    <t>D6</t>
  </si>
  <si>
    <t>D7 &amp; D8</t>
  </si>
  <si>
    <t>D9</t>
  </si>
  <si>
    <t>D10</t>
  </si>
  <si>
    <t>D11</t>
  </si>
  <si>
    <t>D12, A0, A1, A2, A3</t>
  </si>
  <si>
    <t>A4</t>
  </si>
  <si>
    <t>12, 11, 5, 4, 6, 2 (2nd controller)</t>
  </si>
  <si>
    <t>A5</t>
  </si>
  <si>
    <t>9, 8, 7, 6, D5, 4, 3, 2 (3rd controller)</t>
  </si>
  <si>
    <t>10 (2nd controller)</t>
  </si>
  <si>
    <t>7 (2nd controller)</t>
  </si>
  <si>
    <t>10 (3rd controller)</t>
  </si>
  <si>
    <t>Arduino Pins</t>
  </si>
  <si>
    <t>Component</t>
  </si>
  <si>
    <t>Function</t>
  </si>
  <si>
    <t>Price</t>
  </si>
  <si>
    <t>No button</t>
  </si>
  <si>
    <t>Yes button</t>
  </si>
  <si>
    <t>Keypad</t>
  </si>
  <si>
    <t>IR sensor</t>
  </si>
  <si>
    <t>2 x 16 LCD display (no special pins) </t>
  </si>
  <si>
    <t>Rack &amp; pinion set x7</t>
  </si>
  <si>
    <t>Color sensor</t>
  </si>
  <si>
    <t>Mg996R 360 degree servo                         </t>
  </si>
  <si>
    <t>IR sensor                            </t>
  </si>
  <si>
    <t>Speed controller                         </t>
  </si>
  <si>
    <t>Mosfet (IRFZ44N) x4                         </t>
  </si>
  <si>
    <t>DC Gear motor x2                      </t>
  </si>
  <si>
    <t>DC Gear motor x2                          </t>
  </si>
  <si>
    <t>Load cell &amp; Amplifier                              </t>
  </si>
  <si>
    <t>Mg996R 360 degree servo                             </t>
  </si>
  <si>
    <t>Bearings x 4</t>
  </si>
  <si>
    <t>Controller x3</t>
  </si>
  <si>
    <t>Total</t>
  </si>
  <si>
    <t>Coveyor belt (Leather material</t>
  </si>
  <si>
    <t>Metal sensor</t>
  </si>
  <si>
    <t>Mosfet (IRLB8721 or FQP30N06L) x4                         </t>
  </si>
  <si>
    <t>IR sensor x2</t>
  </si>
  <si>
    <t>Power Adaptor</t>
  </si>
  <si>
    <t>Qty</t>
  </si>
  <si>
    <t>Unit Price</t>
  </si>
  <si>
    <t>Buck converters(CC/CV)</t>
  </si>
  <si>
    <t>Enclosure</t>
  </si>
  <si>
    <t>Chinonye</t>
  </si>
  <si>
    <t>Engineers</t>
  </si>
  <si>
    <t>Others</t>
  </si>
  <si>
    <t>Materials</t>
  </si>
  <si>
    <t>Solar panel</t>
  </si>
  <si>
    <t>Type</t>
  </si>
  <si>
    <t>100 W</t>
  </si>
  <si>
    <t>Fuse</t>
  </si>
  <si>
    <t>Schottky Diode</t>
  </si>
  <si>
    <t>XL406 10A Buck Converter</t>
  </si>
  <si>
    <t>Battery (3S 30P) 1.5Ah 3.7V</t>
  </si>
  <si>
    <t>Ballancer</t>
  </si>
  <si>
    <t>BMS</t>
  </si>
  <si>
    <t>CC/CV 5A</t>
  </si>
  <si>
    <t xml:space="preserve">LM2596 Buck Converter </t>
  </si>
  <si>
    <t>5 v</t>
  </si>
  <si>
    <t>Relays</t>
  </si>
  <si>
    <t>10A</t>
  </si>
  <si>
    <t>Bulb</t>
  </si>
  <si>
    <t>5v 2A</t>
  </si>
  <si>
    <t>Fan</t>
  </si>
  <si>
    <t>12v 2A</t>
  </si>
  <si>
    <t>USB Buck converter Module</t>
  </si>
  <si>
    <t>5v 3A</t>
  </si>
  <si>
    <t>ESP32</t>
  </si>
  <si>
    <t>3.7v 1.5Ah</t>
  </si>
  <si>
    <t>Overall Cost</t>
  </si>
  <si>
    <t>Technical cost</t>
  </si>
  <si>
    <t>3s 6A</t>
  </si>
  <si>
    <t>3s 10A</t>
  </si>
  <si>
    <t>0-36V</t>
  </si>
  <si>
    <t xml:space="preserve">INA226 Current and Voltage Sensor </t>
  </si>
  <si>
    <t>Trainning the Ai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</si>
</sst>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Border="1"/>
    <xf numFmtId="0" fontId="3" fillId="2" borderId="0" xfId="0" applyFont="1" applyFill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9AC4-DDB0-4B08-ABD0-C5CE65C66FB9}">
  <dimension ref="A1:E27"/>
  <sheetViews>
    <sheetView topLeftCell="A11" zoomScale="67" workbookViewId="0">
      <selection activeCell="E13" sqref="E13"/>
    </sheetView>
  </sheetViews>
  <sheetFormatPr defaultRowHeight="23.25" x14ac:dyDescent="0.35"/>
  <cols>
    <col min="1" max="1" width="76.85546875" style="1" bestFit="1" customWidth="1"/>
    <col min="2" max="2" width="54.28515625" style="1" customWidth="1"/>
    <col min="3" max="3" width="44.7109375" customWidth="1"/>
    <col min="4" max="4" width="59.28515625" style="1" customWidth="1"/>
    <col min="5" max="5" width="42.42578125" customWidth="1"/>
  </cols>
  <sheetData>
    <row r="1" spans="1:5" x14ac:dyDescent="0.35">
      <c r="A1" s="2" t="s">
        <v>18</v>
      </c>
      <c r="B1" s="2" t="s">
        <v>17</v>
      </c>
      <c r="C1" s="3" t="s">
        <v>19</v>
      </c>
      <c r="D1" s="2" t="s">
        <v>20</v>
      </c>
      <c r="E1" s="1" t="s">
        <v>38</v>
      </c>
    </row>
    <row r="2" spans="1:5" x14ac:dyDescent="0.35">
      <c r="A2" s="4" t="s">
        <v>35</v>
      </c>
      <c r="B2" s="4" t="s">
        <v>0</v>
      </c>
      <c r="C2" s="5"/>
      <c r="D2" s="2">
        <v>6000</v>
      </c>
    </row>
    <row r="3" spans="1:5" ht="26.25" x14ac:dyDescent="0.4">
      <c r="A3" s="4" t="s">
        <v>34</v>
      </c>
      <c r="B3" s="4" t="s">
        <v>1</v>
      </c>
      <c r="C3" s="5"/>
      <c r="D3" s="2">
        <v>6000</v>
      </c>
      <c r="E3" s="6">
        <f>SUM(D2:D32)</f>
        <v>195500</v>
      </c>
    </row>
    <row r="4" spans="1:5" x14ac:dyDescent="0.35">
      <c r="A4" s="4" t="s">
        <v>33</v>
      </c>
      <c r="B4" s="4" t="s">
        <v>2</v>
      </c>
      <c r="C4" s="5"/>
      <c r="D4" s="2">
        <v>3000</v>
      </c>
    </row>
    <row r="5" spans="1:5" x14ac:dyDescent="0.35">
      <c r="A5" s="4" t="s">
        <v>31</v>
      </c>
      <c r="B5" s="4" t="s">
        <v>3</v>
      </c>
      <c r="C5" s="5"/>
      <c r="D5" s="2">
        <v>4000</v>
      </c>
    </row>
    <row r="6" spans="1:5" x14ac:dyDescent="0.35">
      <c r="A6" s="4" t="s">
        <v>30</v>
      </c>
      <c r="B6" s="4" t="s">
        <v>2</v>
      </c>
      <c r="C6" s="5"/>
      <c r="D6" s="2">
        <v>4000</v>
      </c>
    </row>
    <row r="7" spans="1:5" x14ac:dyDescent="0.35">
      <c r="A7" s="4" t="s">
        <v>28</v>
      </c>
      <c r="B7" s="4" t="s">
        <v>4</v>
      </c>
      <c r="C7" s="5"/>
      <c r="D7" s="2">
        <v>6000</v>
      </c>
    </row>
    <row r="8" spans="1:5" x14ac:dyDescent="0.35">
      <c r="A8" s="4" t="s">
        <v>32</v>
      </c>
      <c r="B8" s="4" t="s">
        <v>2</v>
      </c>
      <c r="C8" s="5"/>
      <c r="D8" s="2">
        <v>3000</v>
      </c>
    </row>
    <row r="9" spans="1:5" x14ac:dyDescent="0.35">
      <c r="A9" s="4" t="s">
        <v>41</v>
      </c>
      <c r="B9" s="4" t="s">
        <v>5</v>
      </c>
      <c r="C9" s="5"/>
      <c r="D9" s="2">
        <v>4000</v>
      </c>
    </row>
    <row r="10" spans="1:5" x14ac:dyDescent="0.35">
      <c r="A10" s="4" t="s">
        <v>30</v>
      </c>
      <c r="B10" s="4" t="s">
        <v>2</v>
      </c>
      <c r="C10" s="5"/>
      <c r="D10" s="2">
        <v>4000</v>
      </c>
    </row>
    <row r="11" spans="1:5" x14ac:dyDescent="0.35">
      <c r="A11" s="4" t="s">
        <v>28</v>
      </c>
      <c r="B11" s="4" t="s">
        <v>6</v>
      </c>
      <c r="C11" s="5"/>
      <c r="D11" s="2">
        <v>6000</v>
      </c>
    </row>
    <row r="12" spans="1:5" x14ac:dyDescent="0.35">
      <c r="A12" s="4" t="s">
        <v>29</v>
      </c>
      <c r="B12" s="4" t="s">
        <v>7</v>
      </c>
      <c r="C12" s="5"/>
      <c r="D12" s="2">
        <v>1500</v>
      </c>
    </row>
    <row r="13" spans="1:5" x14ac:dyDescent="0.35">
      <c r="A13" s="4" t="s">
        <v>28</v>
      </c>
      <c r="B13" s="4" t="s">
        <v>8</v>
      </c>
      <c r="C13" s="5"/>
      <c r="D13" s="2">
        <v>6000</v>
      </c>
    </row>
    <row r="14" spans="1:5" x14ac:dyDescent="0.35">
      <c r="A14" s="4" t="s">
        <v>27</v>
      </c>
      <c r="B14" s="4" t="s">
        <v>9</v>
      </c>
      <c r="C14" s="5"/>
      <c r="D14" s="2">
        <v>15000</v>
      </c>
    </row>
    <row r="15" spans="1:5" x14ac:dyDescent="0.35">
      <c r="A15" s="4" t="s">
        <v>26</v>
      </c>
      <c r="B15" s="4" t="s">
        <v>2</v>
      </c>
      <c r="C15" s="5"/>
      <c r="D15" s="2">
        <v>45500</v>
      </c>
    </row>
    <row r="16" spans="1:5" x14ac:dyDescent="0.35">
      <c r="A16" s="4" t="s">
        <v>42</v>
      </c>
      <c r="B16" s="4" t="s">
        <v>10</v>
      </c>
      <c r="C16" s="5"/>
      <c r="D16" s="2">
        <v>3000</v>
      </c>
    </row>
    <row r="17" spans="1:4" x14ac:dyDescent="0.35">
      <c r="A17" s="4" t="s">
        <v>25</v>
      </c>
      <c r="B17" s="4" t="s">
        <v>11</v>
      </c>
      <c r="C17" s="5"/>
      <c r="D17" s="2">
        <v>12000</v>
      </c>
    </row>
    <row r="18" spans="1:4" x14ac:dyDescent="0.35">
      <c r="A18" s="4" t="s">
        <v>24</v>
      </c>
      <c r="B18" s="4" t="s">
        <v>12</v>
      </c>
      <c r="C18" s="5"/>
      <c r="D18" s="2">
        <v>1500</v>
      </c>
    </row>
    <row r="19" spans="1:4" x14ac:dyDescent="0.35">
      <c r="A19" s="4" t="s">
        <v>23</v>
      </c>
      <c r="B19" s="4" t="s">
        <v>13</v>
      </c>
      <c r="C19" s="5"/>
      <c r="D19" s="2">
        <v>5000</v>
      </c>
    </row>
    <row r="20" spans="1:4" x14ac:dyDescent="0.35">
      <c r="A20" s="4" t="s">
        <v>40</v>
      </c>
      <c r="B20" s="4" t="s">
        <v>14</v>
      </c>
      <c r="C20" s="5"/>
      <c r="D20" s="2">
        <v>5000</v>
      </c>
    </row>
    <row r="21" spans="1:4" x14ac:dyDescent="0.35">
      <c r="A21" s="4" t="s">
        <v>22</v>
      </c>
      <c r="B21" s="4" t="s">
        <v>15</v>
      </c>
      <c r="C21" s="5"/>
      <c r="D21" s="2">
        <v>500</v>
      </c>
    </row>
    <row r="22" spans="1:4" x14ac:dyDescent="0.35">
      <c r="A22" s="4" t="s">
        <v>21</v>
      </c>
      <c r="B22" s="4" t="s">
        <v>16</v>
      </c>
      <c r="C22" s="5"/>
      <c r="D22" s="2">
        <v>500</v>
      </c>
    </row>
    <row r="23" spans="1:4" x14ac:dyDescent="0.35">
      <c r="A23" s="4" t="s">
        <v>36</v>
      </c>
      <c r="B23" s="2"/>
      <c r="C23" s="5"/>
      <c r="D23" s="2">
        <v>4000</v>
      </c>
    </row>
    <row r="24" spans="1:4" x14ac:dyDescent="0.35">
      <c r="A24" s="2" t="s">
        <v>37</v>
      </c>
      <c r="B24" s="2"/>
      <c r="C24" s="5"/>
      <c r="D24" s="2">
        <v>45000</v>
      </c>
    </row>
    <row r="25" spans="1:4" x14ac:dyDescent="0.35">
      <c r="A25" s="2" t="s">
        <v>39</v>
      </c>
      <c r="B25" s="2"/>
      <c r="C25" s="5"/>
      <c r="D25" s="2">
        <v>5000</v>
      </c>
    </row>
    <row r="26" spans="1:4" x14ac:dyDescent="0.35">
      <c r="A26" s="2"/>
      <c r="B26" s="2"/>
      <c r="C26" s="5"/>
      <c r="D26" s="2"/>
    </row>
    <row r="27" spans="1:4" x14ac:dyDescent="0.35">
      <c r="A27" s="2"/>
      <c r="B27" s="2"/>
      <c r="C27" s="5"/>
      <c r="D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F693-FFA2-4FC4-A5DB-361E8DAE6F1F}">
  <dimension ref="A1:F27"/>
  <sheetViews>
    <sheetView tabSelected="1" topLeftCell="A8" workbookViewId="0">
      <selection activeCell="C12" sqref="C12"/>
    </sheetView>
  </sheetViews>
  <sheetFormatPr defaultRowHeight="23.25" x14ac:dyDescent="0.35"/>
  <cols>
    <col min="1" max="1" width="76.85546875" style="1" bestFit="1" customWidth="1"/>
    <col min="2" max="2" width="33.85546875" style="1" customWidth="1"/>
    <col min="3" max="4" width="33.85546875" style="10" customWidth="1"/>
    <col min="5" max="5" width="44.7109375" style="10" customWidth="1"/>
    <col min="6" max="6" width="21.5703125" customWidth="1"/>
  </cols>
  <sheetData>
    <row r="1" spans="1:6" x14ac:dyDescent="0.35">
      <c r="A1" s="2" t="s">
        <v>51</v>
      </c>
      <c r="B1" s="2" t="s">
        <v>53</v>
      </c>
      <c r="C1" s="8" t="s">
        <v>44</v>
      </c>
      <c r="D1" s="8" t="s">
        <v>45</v>
      </c>
      <c r="E1" s="8" t="s">
        <v>38</v>
      </c>
      <c r="F1" s="1" t="s">
        <v>74</v>
      </c>
    </row>
    <row r="2" spans="1:6" x14ac:dyDescent="0.35">
      <c r="A2" s="4" t="s">
        <v>52</v>
      </c>
      <c r="B2" s="4" t="s">
        <v>54</v>
      </c>
      <c r="C2" s="9">
        <v>1</v>
      </c>
      <c r="D2" s="9">
        <v>30000</v>
      </c>
      <c r="E2" s="8">
        <f>C2*D2</f>
        <v>30000</v>
      </c>
      <c r="F2" s="8">
        <f>SUM(E2:E145)</f>
        <v>243000</v>
      </c>
    </row>
    <row r="3" spans="1:6" ht="26.25" x14ac:dyDescent="0.4">
      <c r="A3" s="4" t="s">
        <v>56</v>
      </c>
      <c r="B3" s="4"/>
      <c r="C3" s="9">
        <v>1</v>
      </c>
      <c r="D3" s="9">
        <v>500</v>
      </c>
      <c r="E3" s="8">
        <f t="shared" ref="E3:E17" si="0">C3*D3</f>
        <v>500</v>
      </c>
      <c r="F3" s="7"/>
    </row>
    <row r="4" spans="1:6" x14ac:dyDescent="0.35">
      <c r="A4" s="4" t="s">
        <v>57</v>
      </c>
      <c r="B4" s="4" t="s">
        <v>65</v>
      </c>
      <c r="C4" s="9">
        <v>1</v>
      </c>
      <c r="D4" s="9">
        <v>5000</v>
      </c>
      <c r="E4" s="8">
        <f t="shared" si="0"/>
        <v>5000</v>
      </c>
    </row>
    <row r="5" spans="1:6" x14ac:dyDescent="0.35">
      <c r="A5" s="4" t="s">
        <v>79</v>
      </c>
      <c r="B5" s="4" t="s">
        <v>78</v>
      </c>
      <c r="C5" s="9">
        <v>3</v>
      </c>
      <c r="D5" s="9">
        <v>8000</v>
      </c>
      <c r="E5" s="8">
        <f t="shared" si="0"/>
        <v>24000</v>
      </c>
    </row>
    <row r="6" spans="1:6" x14ac:dyDescent="0.35">
      <c r="A6" s="4" t="s">
        <v>60</v>
      </c>
      <c r="B6" s="4" t="s">
        <v>77</v>
      </c>
      <c r="C6" s="9">
        <v>1</v>
      </c>
      <c r="D6" s="9">
        <v>3000</v>
      </c>
      <c r="E6" s="8">
        <f t="shared" si="0"/>
        <v>3000</v>
      </c>
    </row>
    <row r="7" spans="1:6" x14ac:dyDescent="0.35">
      <c r="A7" s="4" t="s">
        <v>58</v>
      </c>
      <c r="B7" s="4" t="s">
        <v>73</v>
      </c>
      <c r="C7" s="9">
        <v>90</v>
      </c>
      <c r="D7" s="9">
        <v>650</v>
      </c>
      <c r="E7" s="8">
        <f t="shared" si="0"/>
        <v>58500</v>
      </c>
    </row>
    <row r="8" spans="1:6" x14ac:dyDescent="0.35">
      <c r="A8" s="1" t="s">
        <v>59</v>
      </c>
      <c r="B8" s="4" t="s">
        <v>76</v>
      </c>
      <c r="C8" s="9">
        <v>1</v>
      </c>
      <c r="D8" s="9">
        <v>13000</v>
      </c>
      <c r="E8" s="8">
        <f t="shared" si="0"/>
        <v>13000</v>
      </c>
    </row>
    <row r="9" spans="1:6" x14ac:dyDescent="0.35">
      <c r="A9" s="4" t="s">
        <v>55</v>
      </c>
      <c r="B9" s="4" t="s">
        <v>65</v>
      </c>
      <c r="C9" s="9">
        <v>6</v>
      </c>
      <c r="D9" s="9">
        <v>500</v>
      </c>
      <c r="E9" s="8">
        <f t="shared" si="0"/>
        <v>3000</v>
      </c>
    </row>
    <row r="10" spans="1:6" x14ac:dyDescent="0.35">
      <c r="A10" s="4" t="s">
        <v>64</v>
      </c>
      <c r="B10" s="4" t="s">
        <v>63</v>
      </c>
      <c r="C10" s="9">
        <v>4</v>
      </c>
      <c r="D10" s="9">
        <v>1500</v>
      </c>
      <c r="E10" s="8">
        <f t="shared" si="0"/>
        <v>6000</v>
      </c>
    </row>
    <row r="11" spans="1:6" x14ac:dyDescent="0.35">
      <c r="A11" s="4" t="s">
        <v>62</v>
      </c>
      <c r="B11" s="4" t="s">
        <v>61</v>
      </c>
      <c r="C11" s="9">
        <v>2</v>
      </c>
      <c r="D11" s="9">
        <v>3000</v>
      </c>
      <c r="E11" s="8">
        <f t="shared" si="0"/>
        <v>6000</v>
      </c>
    </row>
    <row r="12" spans="1:6" x14ac:dyDescent="0.35">
      <c r="A12" s="4" t="s">
        <v>66</v>
      </c>
      <c r="B12" s="4" t="s">
        <v>67</v>
      </c>
      <c r="C12" s="9">
        <v>2</v>
      </c>
      <c r="D12" s="9"/>
      <c r="E12" s="8">
        <f t="shared" si="0"/>
        <v>0</v>
      </c>
    </row>
    <row r="13" spans="1:6" x14ac:dyDescent="0.35">
      <c r="A13" s="4" t="s">
        <v>68</v>
      </c>
      <c r="B13" s="4" t="s">
        <v>69</v>
      </c>
      <c r="C13" s="9">
        <v>1</v>
      </c>
      <c r="D13" s="9"/>
      <c r="E13" s="8">
        <f t="shared" si="0"/>
        <v>0</v>
      </c>
    </row>
    <row r="14" spans="1:6" x14ac:dyDescent="0.35">
      <c r="A14" s="4" t="s">
        <v>70</v>
      </c>
      <c r="B14" s="4" t="s">
        <v>71</v>
      </c>
      <c r="C14" s="9">
        <v>3</v>
      </c>
      <c r="D14" s="9">
        <v>3000</v>
      </c>
      <c r="E14" s="8">
        <f t="shared" si="0"/>
        <v>9000</v>
      </c>
    </row>
    <row r="15" spans="1:6" x14ac:dyDescent="0.35">
      <c r="A15" s="4" t="s">
        <v>72</v>
      </c>
      <c r="B15" s="4"/>
      <c r="C15" s="9">
        <v>1</v>
      </c>
      <c r="D15" s="9">
        <v>20000</v>
      </c>
      <c r="E15" s="8">
        <f t="shared" si="0"/>
        <v>20000</v>
      </c>
    </row>
    <row r="16" spans="1:6" x14ac:dyDescent="0.35">
      <c r="A16" s="4" t="s">
        <v>80</v>
      </c>
      <c r="B16" s="4"/>
      <c r="C16" s="9">
        <v>1</v>
      </c>
      <c r="D16" s="9">
        <v>15000</v>
      </c>
      <c r="E16" s="8">
        <f t="shared" si="0"/>
        <v>15000</v>
      </c>
    </row>
    <row r="17" spans="1:5" x14ac:dyDescent="0.35">
      <c r="A17" s="4" t="s">
        <v>75</v>
      </c>
      <c r="B17" s="4"/>
      <c r="C17" s="9">
        <v>1</v>
      </c>
      <c r="D17" s="9">
        <v>50000</v>
      </c>
      <c r="E17" s="8">
        <f t="shared" si="0"/>
        <v>50000</v>
      </c>
    </row>
    <row r="18" spans="1:5" x14ac:dyDescent="0.35">
      <c r="A18" s="4"/>
      <c r="B18" s="4"/>
      <c r="C18" s="9"/>
      <c r="D18" s="9"/>
      <c r="E18" s="8"/>
    </row>
    <row r="19" spans="1:5" x14ac:dyDescent="0.35">
      <c r="A19" s="4"/>
      <c r="B19" s="4"/>
      <c r="C19" s="9"/>
      <c r="D19" s="9"/>
      <c r="E19" s="8"/>
    </row>
    <row r="20" spans="1:5" x14ac:dyDescent="0.35">
      <c r="A20" s="4"/>
      <c r="B20" s="4"/>
      <c r="C20" s="9"/>
      <c r="D20" s="9"/>
      <c r="E20" s="8"/>
    </row>
    <row r="21" spans="1:5" x14ac:dyDescent="0.35">
      <c r="A21" s="4"/>
      <c r="B21" s="4"/>
      <c r="C21" s="9"/>
      <c r="D21" s="9"/>
      <c r="E21" s="8"/>
    </row>
    <row r="22" spans="1:5" x14ac:dyDescent="0.35">
      <c r="A22" s="4"/>
      <c r="B22" s="4"/>
      <c r="C22" s="9"/>
      <c r="D22" s="9"/>
      <c r="E22" s="8"/>
    </row>
    <row r="23" spans="1:5" x14ac:dyDescent="0.35">
      <c r="A23" s="4"/>
      <c r="B23" s="4"/>
      <c r="C23" s="9"/>
      <c r="D23" s="9"/>
      <c r="E23" s="8"/>
    </row>
    <row r="24" spans="1:5" x14ac:dyDescent="0.35">
      <c r="A24" s="2"/>
      <c r="B24" s="2"/>
      <c r="C24" s="8"/>
      <c r="D24" s="8"/>
      <c r="E24" s="8"/>
    </row>
    <row r="25" spans="1:5" x14ac:dyDescent="0.35">
      <c r="A25" s="2"/>
      <c r="B25" s="2"/>
      <c r="C25" s="8"/>
      <c r="D25" s="8"/>
      <c r="E25" s="8"/>
    </row>
    <row r="26" spans="1:5" x14ac:dyDescent="0.35">
      <c r="A26" s="2"/>
      <c r="B26" s="2"/>
      <c r="C26" s="8"/>
      <c r="D26" s="8"/>
      <c r="E26" s="8"/>
    </row>
    <row r="27" spans="1:5" x14ac:dyDescent="0.35">
      <c r="A27" s="2"/>
      <c r="B27" s="2"/>
      <c r="C27" s="8"/>
      <c r="D27" s="8"/>
      <c r="E2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4E92-CB27-4339-B6E3-C4465FEEBB3E}">
  <dimension ref="A1:E28"/>
  <sheetViews>
    <sheetView workbookViewId="0">
      <selection sqref="A1:E1048576"/>
    </sheetView>
  </sheetViews>
  <sheetFormatPr defaultRowHeight="23.25" x14ac:dyDescent="0.35"/>
  <cols>
    <col min="1" max="1" width="76.85546875" style="1" bestFit="1" customWidth="1"/>
    <col min="2" max="2" width="13.85546875" style="1" customWidth="1"/>
    <col min="3" max="3" width="16.7109375" style="1" customWidth="1"/>
    <col min="4" max="4" width="59.28515625" style="1" customWidth="1"/>
    <col min="5" max="5" width="21.5703125" customWidth="1"/>
  </cols>
  <sheetData>
    <row r="1" spans="1:5" x14ac:dyDescent="0.35">
      <c r="A1" s="2" t="s">
        <v>18</v>
      </c>
      <c r="B1" s="2" t="s">
        <v>44</v>
      </c>
      <c r="C1" s="2" t="s">
        <v>45</v>
      </c>
      <c r="D1" s="2" t="s">
        <v>20</v>
      </c>
      <c r="E1" s="1" t="s">
        <v>38</v>
      </c>
    </row>
    <row r="2" spans="1:5" x14ac:dyDescent="0.35">
      <c r="A2" s="4" t="s">
        <v>43</v>
      </c>
      <c r="B2" s="4">
        <v>1</v>
      </c>
      <c r="C2" s="4">
        <v>10000</v>
      </c>
      <c r="D2" s="2">
        <f>B2*C2</f>
        <v>10000</v>
      </c>
    </row>
    <row r="3" spans="1:5" ht="26.25" x14ac:dyDescent="0.4">
      <c r="A3" s="4" t="s">
        <v>46</v>
      </c>
      <c r="B3" s="4">
        <v>4</v>
      </c>
      <c r="C3" s="4">
        <v>3000</v>
      </c>
      <c r="D3" s="2">
        <f>B3*C3</f>
        <v>12000</v>
      </c>
      <c r="E3" s="6">
        <f>SUM(D1:D32)</f>
        <v>28000</v>
      </c>
    </row>
    <row r="4" spans="1:5" ht="26.25" x14ac:dyDescent="0.4">
      <c r="A4" s="4" t="s">
        <v>47</v>
      </c>
      <c r="B4" s="4">
        <v>1</v>
      </c>
      <c r="C4" s="4">
        <v>6000</v>
      </c>
      <c r="D4" s="2">
        <f>B4*C4</f>
        <v>6000</v>
      </c>
      <c r="E4" s="7"/>
    </row>
    <row r="5" spans="1:5" x14ac:dyDescent="0.35">
      <c r="A5" s="4"/>
      <c r="B5" s="4"/>
      <c r="C5" s="4"/>
      <c r="D5" s="2"/>
    </row>
    <row r="6" spans="1:5" x14ac:dyDescent="0.35">
      <c r="A6" s="4"/>
      <c r="B6" s="4"/>
      <c r="C6" s="4"/>
      <c r="D6" s="2"/>
    </row>
    <row r="7" spans="1:5" x14ac:dyDescent="0.35">
      <c r="A7" s="4"/>
      <c r="B7" s="4"/>
      <c r="C7" s="4"/>
      <c r="D7" s="2"/>
    </row>
    <row r="8" spans="1:5" x14ac:dyDescent="0.35">
      <c r="A8" s="4"/>
      <c r="B8" s="4"/>
      <c r="C8" s="4"/>
      <c r="D8" s="2"/>
    </row>
    <row r="9" spans="1:5" x14ac:dyDescent="0.35">
      <c r="A9" s="4"/>
      <c r="B9" s="4"/>
      <c r="C9" s="4"/>
      <c r="D9" s="2"/>
    </row>
    <row r="10" spans="1:5" x14ac:dyDescent="0.35">
      <c r="A10" s="4"/>
      <c r="B10" s="4"/>
      <c r="C10" s="4"/>
      <c r="D10" s="2"/>
    </row>
    <row r="11" spans="1:5" x14ac:dyDescent="0.35">
      <c r="A11" s="4"/>
      <c r="B11" s="4"/>
      <c r="C11" s="4"/>
      <c r="D11" s="2"/>
    </row>
    <row r="12" spans="1:5" x14ac:dyDescent="0.35">
      <c r="A12" s="4"/>
      <c r="B12" s="4"/>
      <c r="C12" s="4"/>
      <c r="D12" s="2"/>
    </row>
    <row r="13" spans="1:5" x14ac:dyDescent="0.35">
      <c r="A13" s="4"/>
      <c r="B13" s="4"/>
      <c r="C13" s="4"/>
      <c r="D13" s="2"/>
    </row>
    <row r="14" spans="1:5" x14ac:dyDescent="0.35">
      <c r="A14" s="4"/>
      <c r="B14" s="4"/>
      <c r="C14" s="4"/>
      <c r="D14" s="2"/>
    </row>
    <row r="15" spans="1:5" x14ac:dyDescent="0.35">
      <c r="A15" s="4"/>
      <c r="B15" s="4"/>
      <c r="C15" s="4"/>
      <c r="D15" s="2"/>
    </row>
    <row r="16" spans="1:5" x14ac:dyDescent="0.35">
      <c r="A16" s="4"/>
      <c r="B16" s="4"/>
      <c r="C16" s="4"/>
      <c r="D16" s="2"/>
    </row>
    <row r="17" spans="1:4" x14ac:dyDescent="0.35">
      <c r="A17" s="4"/>
      <c r="B17" s="4"/>
      <c r="C17" s="4"/>
      <c r="D17" s="2"/>
    </row>
    <row r="18" spans="1:4" x14ac:dyDescent="0.35">
      <c r="A18" s="4"/>
      <c r="B18" s="4"/>
      <c r="C18" s="4"/>
      <c r="D18" s="2"/>
    </row>
    <row r="19" spans="1:4" x14ac:dyDescent="0.35">
      <c r="A19" s="4"/>
      <c r="B19" s="4"/>
      <c r="C19" s="4"/>
      <c r="D19" s="2"/>
    </row>
    <row r="20" spans="1:4" x14ac:dyDescent="0.35">
      <c r="A20" s="4"/>
      <c r="B20" s="4"/>
      <c r="C20" s="4"/>
      <c r="D20" s="2"/>
    </row>
    <row r="21" spans="1:4" x14ac:dyDescent="0.35">
      <c r="A21" s="4"/>
      <c r="B21" s="4"/>
      <c r="C21" s="4"/>
      <c r="D21" s="2"/>
    </row>
    <row r="22" spans="1:4" x14ac:dyDescent="0.35">
      <c r="A22" s="4"/>
      <c r="B22" s="4"/>
      <c r="C22" s="4"/>
      <c r="D22" s="2"/>
    </row>
    <row r="23" spans="1:4" x14ac:dyDescent="0.35">
      <c r="A23" s="4"/>
      <c r="B23" s="4"/>
      <c r="C23" s="4"/>
      <c r="D23" s="2"/>
    </row>
    <row r="24" spans="1:4" x14ac:dyDescent="0.35">
      <c r="A24" s="4"/>
      <c r="B24" s="4"/>
      <c r="C24" s="4"/>
      <c r="D24" s="2"/>
    </row>
    <row r="25" spans="1:4" x14ac:dyDescent="0.35">
      <c r="A25" s="2"/>
      <c r="B25" s="2"/>
      <c r="C25" s="2"/>
      <c r="D25" s="2"/>
    </row>
    <row r="26" spans="1:4" x14ac:dyDescent="0.35">
      <c r="A26" s="2"/>
      <c r="B26" s="2"/>
      <c r="C26" s="2"/>
      <c r="D26" s="2"/>
    </row>
    <row r="27" spans="1:4" x14ac:dyDescent="0.35">
      <c r="A27" s="2"/>
      <c r="B27" s="2"/>
      <c r="C27" s="2"/>
      <c r="D27" s="2"/>
    </row>
    <row r="28" spans="1:4" x14ac:dyDescent="0.35">
      <c r="A28" s="2"/>
      <c r="B28" s="2"/>
      <c r="C28" s="2"/>
      <c r="D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C5CD-522D-4F69-A6CA-03FF42D0B5B6}">
  <dimension ref="A1:C28"/>
  <sheetViews>
    <sheetView workbookViewId="0">
      <selection activeCell="B4" sqref="B4"/>
    </sheetView>
  </sheetViews>
  <sheetFormatPr defaultRowHeight="23.25" x14ac:dyDescent="0.35"/>
  <cols>
    <col min="1" max="1" width="76.85546875" style="1" bestFit="1" customWidth="1"/>
    <col min="2" max="2" width="59.28515625" style="1" customWidth="1"/>
    <col min="3" max="3" width="21.5703125" customWidth="1"/>
  </cols>
  <sheetData>
    <row r="1" spans="1:3" x14ac:dyDescent="0.35">
      <c r="A1" s="2" t="s">
        <v>49</v>
      </c>
      <c r="B1" s="2" t="s">
        <v>20</v>
      </c>
      <c r="C1" s="1" t="s">
        <v>38</v>
      </c>
    </row>
    <row r="2" spans="1:3" x14ac:dyDescent="0.35">
      <c r="A2" s="4" t="s">
        <v>48</v>
      </c>
      <c r="B2" s="2">
        <v>60000</v>
      </c>
    </row>
    <row r="3" spans="1:3" ht="26.25" x14ac:dyDescent="0.4">
      <c r="A3" s="4" t="s">
        <v>50</v>
      </c>
      <c r="B3" s="2">
        <v>40000</v>
      </c>
      <c r="C3" s="6">
        <f>SUM(B1:B32)</f>
        <v>100000</v>
      </c>
    </row>
    <row r="4" spans="1:3" ht="26.25" x14ac:dyDescent="0.4">
      <c r="A4" s="4"/>
      <c r="B4" s="2"/>
      <c r="C4" s="7"/>
    </row>
    <row r="5" spans="1:3" x14ac:dyDescent="0.35">
      <c r="A5" s="4"/>
      <c r="B5" s="2"/>
    </row>
    <row r="6" spans="1:3" x14ac:dyDescent="0.35">
      <c r="A6" s="4"/>
      <c r="B6" s="2"/>
    </row>
    <row r="7" spans="1:3" x14ac:dyDescent="0.35">
      <c r="A7" s="4"/>
      <c r="B7" s="2"/>
    </row>
    <row r="8" spans="1:3" x14ac:dyDescent="0.35">
      <c r="A8" s="4"/>
      <c r="B8" s="2"/>
    </row>
    <row r="9" spans="1:3" x14ac:dyDescent="0.35">
      <c r="A9" s="4"/>
      <c r="B9" s="2"/>
    </row>
    <row r="10" spans="1:3" x14ac:dyDescent="0.35">
      <c r="A10" s="4"/>
      <c r="B10" s="2"/>
    </row>
    <row r="11" spans="1:3" x14ac:dyDescent="0.35">
      <c r="A11" s="4"/>
      <c r="B11" s="2"/>
    </row>
    <row r="12" spans="1:3" x14ac:dyDescent="0.35">
      <c r="A12" s="4"/>
      <c r="B12" s="2"/>
    </row>
    <row r="13" spans="1:3" x14ac:dyDescent="0.35">
      <c r="A13" s="4"/>
      <c r="B13" s="2"/>
    </row>
    <row r="14" spans="1:3" x14ac:dyDescent="0.35">
      <c r="A14" s="4"/>
      <c r="B14" s="2"/>
    </row>
    <row r="15" spans="1:3" x14ac:dyDescent="0.35">
      <c r="A15" s="4"/>
      <c r="B15" s="2"/>
    </row>
    <row r="16" spans="1:3" x14ac:dyDescent="0.35">
      <c r="A16" s="4"/>
      <c r="B16" s="2"/>
    </row>
    <row r="17" spans="1:2" x14ac:dyDescent="0.35">
      <c r="A17" s="4"/>
      <c r="B17" s="2"/>
    </row>
    <row r="18" spans="1:2" x14ac:dyDescent="0.35">
      <c r="A18" s="4"/>
      <c r="B18" s="2"/>
    </row>
    <row r="19" spans="1:2" x14ac:dyDescent="0.35">
      <c r="A19" s="4"/>
      <c r="B19" s="2"/>
    </row>
    <row r="20" spans="1:2" x14ac:dyDescent="0.35">
      <c r="A20" s="4"/>
      <c r="B20" s="2"/>
    </row>
    <row r="21" spans="1:2" x14ac:dyDescent="0.35">
      <c r="A21" s="4"/>
      <c r="B21" s="2"/>
    </row>
    <row r="22" spans="1:2" x14ac:dyDescent="0.35">
      <c r="A22" s="4"/>
      <c r="B22" s="2"/>
    </row>
    <row r="23" spans="1:2" x14ac:dyDescent="0.35">
      <c r="A23" s="4"/>
      <c r="B23" s="2"/>
    </row>
    <row r="24" spans="1:2" x14ac:dyDescent="0.35">
      <c r="A24" s="4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  <row r="28" spans="1:2" x14ac:dyDescent="0.35">
      <c r="A28" s="2"/>
      <c r="B2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78B4-AEEB-498D-AD43-6C72F3EBFC91}">
  <dimension ref="A1:A3"/>
  <sheetViews>
    <sheetView workbookViewId="0">
      <selection activeCell="A4" sqref="A4"/>
    </sheetView>
  </sheetViews>
  <sheetFormatPr defaultRowHeight="15" x14ac:dyDescent="0.25"/>
  <cols>
    <col min="1" max="1" width="61.7109375" customWidth="1"/>
  </cols>
  <sheetData>
    <row r="1" spans="1:1" ht="23.25" x14ac:dyDescent="0.35">
      <c r="A1" s="1" t="s">
        <v>38</v>
      </c>
    </row>
    <row r="3" spans="1:1" ht="26.25" x14ac:dyDescent="0.4">
      <c r="A3" s="6" t="e">
        <f>SUM(Electronics!E3,Miscellenous!#REF!,Power!E3,Workmanship!C3)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Electronics</vt:lpstr>
      <vt:lpstr>Miscellenous</vt:lpstr>
      <vt:lpstr>Power</vt:lpstr>
      <vt:lpstr>Workmanship</vt:lpstr>
      <vt:lpstr>Overall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Chinonyerem Vincent</dc:creator>
  <cp:lastModifiedBy>Chinonyerem Vincent</cp:lastModifiedBy>
  <dcterms:created xsi:type="dcterms:W3CDTF">2026-08-09T16:51:37Z</dcterms:created>
  <dcterms:modified xsi:type="dcterms:W3CDTF">2026-10-20T02:08:09Z</dcterms:modified>
</cp:coreProperties>
</file>